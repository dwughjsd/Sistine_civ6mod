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<sst xmlns="http://schemas.openxmlformats.org/spreadsheetml/2006/main" count="334" uniqueCount="80">
  <si>
    <t>AI开挂量</t>
  </si>
  <si>
    <t>原始数值</t>
  </si>
  <si>
    <t>均一化</t>
  </si>
  <si>
    <t>civ1</t>
  </si>
  <si>
    <t>酋长</t>
  </si>
  <si>
    <t>军阀</t>
  </si>
  <si>
    <t>王子</t>
  </si>
  <si>
    <t>国王</t>
  </si>
  <si>
    <t>皇帝</t>
  </si>
  <si>
    <t>君主</t>
  </si>
  <si>
    <t>产能</t>
  </si>
  <si>
    <t>1/1.6</t>
  </si>
  <si>
    <t>1/1.4</t>
  </si>
  <si>
    <t>1/1.2</t>
  </si>
  <si>
    <t>1/0.8</t>
  </si>
  <si>
    <t>科技</t>
  </si>
  <si>
    <t>6/14</t>
  </si>
  <si>
    <t>8/13</t>
  </si>
  <si>
    <t>10/12</t>
  </si>
  <si>
    <t>12/11</t>
  </si>
  <si>
    <t>14/10</t>
  </si>
  <si>
    <t>余粮</t>
  </si>
  <si>
    <t>civ2</t>
  </si>
  <si>
    <t>神祗</t>
  </si>
  <si>
    <t>产能（需求）</t>
  </si>
  <si>
    <t>civ3</t>
  </si>
  <si>
    <t>摄政</t>
  </si>
  <si>
    <t>半神</t>
  </si>
  <si>
    <t>席德</t>
  </si>
  <si>
    <t>1/2</t>
  </si>
  <si>
    <t>1/1</t>
  </si>
  <si>
    <t>1/0.9</t>
  </si>
  <si>
    <t>1/0.7</t>
  </si>
  <si>
    <t>1/0.6</t>
  </si>
  <si>
    <t>1/0.4</t>
  </si>
  <si>
    <t>AI进攻单位</t>
  </si>
  <si>
    <t>/</t>
  </si>
  <si>
    <t>AI防御单位</t>
  </si>
  <si>
    <t>AI移民</t>
  </si>
  <si>
    <t>AI工人</t>
  </si>
  <si>
    <t>部队免维护费（x为城市数量）</t>
  </si>
  <si>
    <t>4+x</t>
  </si>
  <si>
    <t>8+2x</t>
  </si>
  <si>
    <t>12+3x</t>
  </si>
  <si>
    <t>16+4x</t>
  </si>
  <si>
    <t>24+8x</t>
  </si>
  <si>
    <t>civ4</t>
  </si>
  <si>
    <t>移民</t>
  </si>
  <si>
    <t>贵族</t>
  </si>
  <si>
    <t>不朽</t>
  </si>
  <si>
    <t>1/1.3</t>
  </si>
  <si>
    <t>1/1.1</t>
  </si>
  <si>
    <t>1/0.95</t>
  </si>
  <si>
    <t>1/0.90</t>
  </si>
  <si>
    <t>1/0.85</t>
  </si>
  <si>
    <t>AI侦察单位</t>
  </si>
  <si>
    <t>AI工人效率</t>
  </si>
  <si>
    <t>单位维护费、升级费用、通货膨胀率不适用</t>
  </si>
  <si>
    <t>civ5</t>
  </si>
  <si>
    <t>余粮（需求）</t>
  </si>
  <si>
    <t>免费科技</t>
  </si>
  <si>
    <t>不满</t>
  </si>
  <si>
    <t>维护费</t>
  </si>
  <si>
    <t>经验值</t>
  </si>
  <si>
    <t>1级+0</t>
  </si>
  <si>
    <t>1级+25%</t>
  </si>
  <si>
    <t>2级+50%</t>
  </si>
  <si>
    <t>2级+100%</t>
  </si>
  <si>
    <t>civ6</t>
  </si>
  <si>
    <t>产能/金币</t>
  </si>
  <si>
    <t>科技/文化/信仰</t>
  </si>
  <si>
    <t>1/1.45</t>
  </si>
  <si>
    <t>1/1.15</t>
  </si>
  <si>
    <t>战斗力</t>
  </si>
  <si>
    <t>civ7</t>
  </si>
  <si>
    <t>书吏</t>
  </si>
  <si>
    <t>州官</t>
  </si>
  <si>
    <t>总督</t>
  </si>
  <si>
    <t>君王</t>
  </si>
  <si>
    <t>科技/文化/快乐/金币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</si>
</sst>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58" fontId="0" fillId="0" borderId="0" xfId="0" applyNumberFormat="1" applyAlignment="1">
      <alignment vertical="center"/>
    </xf>
    <xf numFmtId="58" fontId="0" fillId="0" borderId="0" xfId="0" applyNumberForma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2"/>
  <sheetViews>
    <sheetView tabSelected="1" workbookViewId="0">
      <selection activeCell="I12" sqref="I12:I13"/>
    </sheetView>
  </sheetViews>
  <sheetFormatPr defaultColWidth="9" defaultRowHeight="13.5"/>
  <cols>
    <col min="1" max="1" width="25.75" customWidth="1"/>
    <col min="12" max="14" width="13.75"/>
    <col min="15" max="20" width="12.625"/>
  </cols>
  <sheetData>
    <row r="1" spans="1:21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L2" t="s">
        <v>4</v>
      </c>
      <c r="M2" t="s">
        <v>5</v>
      </c>
      <c r="N2" t="s">
        <v>6</v>
      </c>
      <c r="O2" t="s">
        <v>7</v>
      </c>
      <c r="P2" t="s">
        <v>9</v>
      </c>
    </row>
    <row r="3" spans="1:21">
      <c r="A3" t="s">
        <v>10</v>
      </c>
      <c r="B3" s="2" t="s">
        <v>11</v>
      </c>
      <c r="C3" t="s">
        <v>12</v>
      </c>
      <c r="D3" t="s">
        <v>13</v>
      </c>
      <c r="E3">
        <v>1</v>
      </c>
      <c r="F3" t="s">
        <v>14</v>
      </c>
      <c r="L3" s="3">
        <f>1/1.6-1</f>
        <v>-0.375</v>
      </c>
      <c r="M3" s="3">
        <f>1/1.4-1</f>
        <v>-0.285714285714286</v>
      </c>
      <c r="N3" s="3">
        <f>1/1.2-1</f>
        <v>-0.166666666666667</v>
      </c>
      <c r="O3" s="3">
        <v>0</v>
      </c>
      <c r="P3" s="3">
        <f>1/0.8-1</f>
        <v>0.25</v>
      </c>
    </row>
    <row r="4" spans="1:21">
      <c r="A4" t="s">
        <v>15</v>
      </c>
      <c r="B4" s="2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/>
      <c r="H4" s="4"/>
      <c r="I4" s="4"/>
      <c r="J4" s="4"/>
      <c r="K4" s="4"/>
      <c r="L4" s="3">
        <f>6/14-1</f>
        <v>-0.571428571428571</v>
      </c>
      <c r="M4" s="3">
        <f>8/13-1</f>
        <v>-0.384615384615385</v>
      </c>
      <c r="N4" s="3">
        <f>10/12-1</f>
        <v>-0.166666666666667</v>
      </c>
      <c r="O4" s="3">
        <f>12/11-1</f>
        <v>0.0909090909090908</v>
      </c>
      <c r="P4" s="3">
        <f>14/10-1</f>
        <v>0.4</v>
      </c>
    </row>
    <row r="5" spans="1:21">
      <c r="A5" t="s">
        <v>21</v>
      </c>
      <c r="B5" s="2" t="s">
        <v>11</v>
      </c>
      <c r="C5" t="s">
        <v>12</v>
      </c>
      <c r="D5" t="s">
        <v>13</v>
      </c>
      <c r="E5">
        <v>1</v>
      </c>
      <c r="F5" t="s">
        <v>14</v>
      </c>
      <c r="L5" s="3">
        <f>1/1.6-1</f>
        <v>-0.375</v>
      </c>
      <c r="M5" s="3">
        <f>1/1.4-1</f>
        <v>-0.285714285714286</v>
      </c>
      <c r="N5" s="3">
        <f>1/1.2-1</f>
        <v>-0.166666666666667</v>
      </c>
      <c r="O5" s="3">
        <v>0</v>
      </c>
      <c r="P5" s="3">
        <f>1/0.8-1</f>
        <v>0.25</v>
      </c>
    </row>
    <row r="7" spans="1:21">
      <c r="A7" t="s">
        <v>22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23</v>
      </c>
      <c r="L7" t="s">
        <v>4</v>
      </c>
      <c r="M7" t="s">
        <v>5</v>
      </c>
      <c r="N7" t="s">
        <v>6</v>
      </c>
      <c r="O7" t="s">
        <v>7</v>
      </c>
      <c r="P7" t="s">
        <v>9</v>
      </c>
      <c r="Q7" t="s">
        <v>23</v>
      </c>
    </row>
    <row r="8" spans="1:21">
      <c r="A8" t="s">
        <v>24</v>
      </c>
      <c r="B8">
        <v>0</v>
      </c>
      <c r="C8">
        <v>0</v>
      </c>
      <c r="D8">
        <v>0</v>
      </c>
      <c r="E8">
        <v>0</v>
      </c>
      <c r="F8">
        <v>-0.2</v>
      </c>
      <c r="G8">
        <v>-0.4</v>
      </c>
      <c r="L8" s="3">
        <v>0</v>
      </c>
      <c r="M8" s="3">
        <v>0</v>
      </c>
      <c r="N8" s="3">
        <v>0</v>
      </c>
      <c r="O8" s="3">
        <v>0</v>
      </c>
      <c r="P8" s="3">
        <f>1/0.8-1</f>
        <v>0.25</v>
      </c>
      <c r="Q8" s="3">
        <f>1/0.6-1</f>
        <v>0.666666666666667</v>
      </c>
    </row>
    <row r="10" spans="1:21">
      <c r="A10" t="s">
        <v>25</v>
      </c>
      <c r="B10" t="s">
        <v>4</v>
      </c>
      <c r="C10" t="s">
        <v>5</v>
      </c>
      <c r="D10" t="s">
        <v>26</v>
      </c>
      <c r="E10" t="s">
        <v>9</v>
      </c>
      <c r="F10" t="s">
        <v>8</v>
      </c>
      <c r="G10" t="s">
        <v>27</v>
      </c>
      <c r="H10" t="s">
        <v>23</v>
      </c>
      <c r="I10" t="s">
        <v>28</v>
      </c>
      <c r="L10" t="s">
        <v>4</v>
      </c>
      <c r="M10" t="s">
        <v>5</v>
      </c>
      <c r="N10" t="s">
        <v>26</v>
      </c>
      <c r="O10" t="s">
        <v>9</v>
      </c>
      <c r="P10" t="s">
        <v>8</v>
      </c>
      <c r="Q10" t="s">
        <v>27</v>
      </c>
      <c r="R10" t="s">
        <v>23</v>
      </c>
      <c r="S10" t="s">
        <v>28</v>
      </c>
    </row>
    <row r="11" spans="1:21">
      <c r="A11" t="s">
        <v>10</v>
      </c>
      <c r="B11" s="6" t="s">
        <v>29</v>
      </c>
      <c r="C11" s="2" t="s">
        <v>13</v>
      </c>
      <c r="D11" s="6" t="s">
        <v>30</v>
      </c>
      <c r="E11" s="2" t="s">
        <v>31</v>
      </c>
      <c r="F11" s="2" t="s">
        <v>14</v>
      </c>
      <c r="G11" s="2" t="s">
        <v>32</v>
      </c>
      <c r="H11" s="2" t="s">
        <v>33</v>
      </c>
      <c r="I11" s="2" t="s">
        <v>34</v>
      </c>
      <c r="L11" s="3">
        <f>1/2-1</f>
        <v>-0.5</v>
      </c>
      <c r="M11" s="3">
        <f>1/1.2-1</f>
        <v>-0.166666666666667</v>
      </c>
      <c r="N11" s="3">
        <v>0</v>
      </c>
      <c r="O11" s="3">
        <f>1/0.9-1</f>
        <v>0.111111111111111</v>
      </c>
      <c r="P11" s="3">
        <f>1/0.8-1</f>
        <v>0.25</v>
      </c>
      <c r="Q11" s="3">
        <f>1/0.7-1</f>
        <v>0.428571428571429</v>
      </c>
      <c r="R11" s="3">
        <f>1/0.6-1</f>
        <v>0.666666666666667</v>
      </c>
      <c r="S11" s="3">
        <f>1/0.4-1</f>
        <v>1.5</v>
      </c>
    </row>
    <row r="12" spans="1:21">
      <c r="A12" t="s">
        <v>35</v>
      </c>
      <c r="B12">
        <v>0</v>
      </c>
      <c r="C12">
        <v>0</v>
      </c>
      <c r="D12">
        <v>0</v>
      </c>
      <c r="E12">
        <v>2</v>
      </c>
      <c r="F12">
        <v>4</v>
      </c>
      <c r="G12">
        <v>6</v>
      </c>
      <c r="H12">
        <v>8</v>
      </c>
      <c r="I12">
        <v>12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</row>
    <row r="13" spans="1:21">
      <c r="A13" t="s">
        <v>37</v>
      </c>
      <c r="B13">
        <v>0</v>
      </c>
      <c r="C13">
        <v>0</v>
      </c>
      <c r="D13">
        <v>0</v>
      </c>
      <c r="E13">
        <v>1</v>
      </c>
      <c r="F13">
        <v>2</v>
      </c>
      <c r="G13">
        <v>3</v>
      </c>
      <c r="H13">
        <v>4</v>
      </c>
      <c r="I13">
        <v>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</row>
    <row r="14" spans="1:21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2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</row>
    <row r="15" spans="1:21">
      <c r="A15" t="s">
        <v>39</v>
      </c>
      <c r="B15">
        <v>0</v>
      </c>
      <c r="C15">
        <v>0</v>
      </c>
      <c r="D15">
        <v>0</v>
      </c>
      <c r="E15">
        <v>0</v>
      </c>
      <c r="F15">
        <v>1</v>
      </c>
      <c r="G15">
        <v>2</v>
      </c>
      <c r="H15">
        <v>2</v>
      </c>
      <c r="I15">
        <v>4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</row>
    <row r="16" spans="1:21">
      <c r="A16" t="s">
        <v>40</v>
      </c>
      <c r="B16">
        <v>0</v>
      </c>
      <c r="C16">
        <v>0</v>
      </c>
      <c r="D16">
        <v>0</v>
      </c>
      <c r="E16" t="s">
        <v>41</v>
      </c>
      <c r="F16" t="s">
        <v>42</v>
      </c>
      <c r="G16" t="s">
        <v>43</v>
      </c>
      <c r="H16" t="s">
        <v>44</v>
      </c>
      <c r="I16" t="s">
        <v>45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</row>
    <row r="18" spans="1:20">
      <c r="A18" t="s">
        <v>46</v>
      </c>
      <c r="B18" t="s">
        <v>47</v>
      </c>
      <c r="C18" t="s">
        <v>4</v>
      </c>
      <c r="D18" t="s">
        <v>5</v>
      </c>
      <c r="E18" t="s">
        <v>48</v>
      </c>
      <c r="F18" t="s">
        <v>6</v>
      </c>
      <c r="G18" t="s">
        <v>9</v>
      </c>
      <c r="H18" t="s">
        <v>8</v>
      </c>
      <c r="I18" t="s">
        <v>49</v>
      </c>
      <c r="J18" t="s">
        <v>23</v>
      </c>
      <c r="L18" t="s">
        <v>47</v>
      </c>
      <c r="M18" t="s">
        <v>4</v>
      </c>
      <c r="N18" t="s">
        <v>5</v>
      </c>
      <c r="O18" t="s">
        <v>48</v>
      </c>
      <c r="P18" t="s">
        <v>6</v>
      </c>
      <c r="Q18" t="s">
        <v>9</v>
      </c>
      <c r="R18" t="s">
        <v>8</v>
      </c>
      <c r="S18" t="s">
        <v>49</v>
      </c>
      <c r="T18" t="s">
        <v>23</v>
      </c>
    </row>
    <row r="19" spans="1:20">
      <c r="A19" t="s">
        <v>10</v>
      </c>
      <c r="B19" t="s">
        <v>11</v>
      </c>
      <c r="C19" t="s">
        <v>50</v>
      </c>
      <c r="D19" t="s">
        <v>51</v>
      </c>
      <c r="E19">
        <v>1</v>
      </c>
      <c r="F19" t="s">
        <v>52</v>
      </c>
      <c r="G19" t="s">
        <v>53</v>
      </c>
      <c r="H19" t="s">
        <v>54</v>
      </c>
      <c r="I19" t="s">
        <v>14</v>
      </c>
      <c r="J19" t="s">
        <v>33</v>
      </c>
      <c r="L19" s="3">
        <f>1/1.6-1</f>
        <v>-0.375</v>
      </c>
      <c r="M19" s="3">
        <f>1/1.3-1</f>
        <v>-0.230769230769231</v>
      </c>
      <c r="N19" s="3">
        <f>1/1.1-1</f>
        <v>-0.0909090909090909</v>
      </c>
      <c r="O19" s="3">
        <f>0</f>
        <v>0</v>
      </c>
      <c r="P19" s="3">
        <f>1/0.95-1</f>
        <v>0.0526315789473684</v>
      </c>
      <c r="Q19" s="3">
        <f>1/0.9-1</f>
        <v>0.111111111111111</v>
      </c>
      <c r="R19" s="3">
        <f>1/0.85-1</f>
        <v>0.176470588235294</v>
      </c>
      <c r="S19" s="3">
        <f>1/0.8-1</f>
        <v>0.25</v>
      </c>
      <c r="T19" s="3">
        <f>1/0.6-1</f>
        <v>0.666666666666667</v>
      </c>
    </row>
    <row r="20" spans="1:20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2</v>
      </c>
      <c r="I20">
        <v>3</v>
      </c>
      <c r="J20">
        <v>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</row>
    <row r="21" spans="1:20">
      <c r="A21" t="s">
        <v>55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1</v>
      </c>
      <c r="I21">
        <v>1</v>
      </c>
      <c r="J21">
        <v>2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</row>
    <row r="22" spans="1:20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2</v>
      </c>
      <c r="J22">
        <v>3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</row>
    <row r="23" spans="1:20">
      <c r="A23" t="s">
        <v>56</v>
      </c>
      <c r="B23">
        <v>0</v>
      </c>
      <c r="C23">
        <v>0</v>
      </c>
      <c r="D23">
        <v>0</v>
      </c>
      <c r="E23">
        <v>0</v>
      </c>
      <c r="F23">
        <v>10</v>
      </c>
      <c r="G23">
        <v>20</v>
      </c>
      <c r="H23">
        <v>50</v>
      </c>
      <c r="I23">
        <v>75</v>
      </c>
      <c r="J23">
        <v>100</v>
      </c>
      <c r="L23">
        <v>0</v>
      </c>
      <c r="M23">
        <v>0</v>
      </c>
      <c r="N23">
        <v>0</v>
      </c>
      <c r="O23">
        <v>0</v>
      </c>
      <c r="P23">
        <f>F23/33.3333333333333</f>
        <v>0.3</v>
      </c>
      <c r="Q23">
        <f>G23/33.3333333333333</f>
        <v>0.600000000000001</v>
      </c>
      <c r="R23">
        <f>H23/33.3333333333333</f>
        <v>1.5</v>
      </c>
      <c r="S23">
        <f>I23/33.3333333333333</f>
        <v>2.25</v>
      </c>
      <c r="T23">
        <f>J23/33.3333333333333</f>
        <v>3</v>
      </c>
    </row>
    <row r="24" spans="1:20">
      <c r="A24" s="1" t="s">
        <v>57</v>
      </c>
      <c r="B24" s="1"/>
      <c r="C24" s="1"/>
      <c r="D24" s="1"/>
      <c r="E24" s="1"/>
      <c r="F24" s="1"/>
      <c r="G24" s="1"/>
      <c r="H24" s="1"/>
      <c r="I24" s="1"/>
      <c r="J24" s="1"/>
    </row>
    <row r="26" spans="1:20">
      <c r="A26" t="s">
        <v>58</v>
      </c>
      <c r="B26" t="s">
        <v>47</v>
      </c>
      <c r="C26" t="s">
        <v>4</v>
      </c>
      <c r="D26" t="s">
        <v>5</v>
      </c>
      <c r="E26" t="s">
        <v>6</v>
      </c>
      <c r="F26" t="s">
        <v>7</v>
      </c>
      <c r="G26" t="s">
        <v>8</v>
      </c>
      <c r="H26" t="s">
        <v>49</v>
      </c>
      <c r="I26" t="s">
        <v>23</v>
      </c>
      <c r="L26" t="s">
        <v>47</v>
      </c>
      <c r="M26" t="s">
        <v>4</v>
      </c>
      <c r="N26" t="s">
        <v>5</v>
      </c>
      <c r="O26" t="s">
        <v>6</v>
      </c>
      <c r="P26" t="s">
        <v>7</v>
      </c>
      <c r="Q26" t="s">
        <v>8</v>
      </c>
      <c r="R26" t="s">
        <v>49</v>
      </c>
      <c r="S26" t="s">
        <v>23</v>
      </c>
    </row>
    <row r="27" spans="1:20">
      <c r="A27" t="s">
        <v>10</v>
      </c>
      <c r="B27">
        <v>1.6</v>
      </c>
      <c r="C27">
        <v>1.3</v>
      </c>
      <c r="D27">
        <v>1.1</v>
      </c>
      <c r="E27">
        <v>1</v>
      </c>
      <c r="F27">
        <v>0.85</v>
      </c>
      <c r="G27">
        <v>0.75</v>
      </c>
      <c r="H27">
        <v>0.6</v>
      </c>
      <c r="I27">
        <v>0.5</v>
      </c>
      <c r="L27" s="3">
        <f>1/B27-1</f>
        <v>-0.375</v>
      </c>
      <c r="M27" s="3">
        <f>1/C27-1</f>
        <v>-0.230769230769231</v>
      </c>
      <c r="N27" s="3">
        <f>1/D27-1</f>
        <v>-0.0909090909090909</v>
      </c>
      <c r="O27" s="3">
        <f>1/E27-1</f>
        <v>0</v>
      </c>
      <c r="P27" s="3">
        <f>1/F27-1</f>
        <v>0.176470588235294</v>
      </c>
      <c r="Q27" s="3">
        <f>1/G27-1</f>
        <v>0.333333333333333</v>
      </c>
      <c r="R27" s="3">
        <f>1/H27-1</f>
        <v>0.666666666666667</v>
      </c>
      <c r="S27" s="3">
        <f>1/I27-1</f>
        <v>1</v>
      </c>
    </row>
    <row r="28" spans="1:20">
      <c r="A28" t="s">
        <v>59</v>
      </c>
      <c r="B28">
        <v>1.6</v>
      </c>
      <c r="C28">
        <v>1.3</v>
      </c>
      <c r="D28">
        <v>1.1</v>
      </c>
      <c r="E28">
        <v>1</v>
      </c>
      <c r="F28">
        <v>0.9</v>
      </c>
      <c r="G28">
        <v>0.8</v>
      </c>
      <c r="H28">
        <v>0.7</v>
      </c>
      <c r="I28">
        <v>0.55</v>
      </c>
      <c r="L28" s="3">
        <f>1/B28-1</f>
        <v>-0.375</v>
      </c>
      <c r="M28" s="3">
        <f>1/C28-1</f>
        <v>-0.230769230769231</v>
      </c>
      <c r="N28" s="3">
        <f>1/D28-1</f>
        <v>-0.0909090909090909</v>
      </c>
      <c r="O28" s="3">
        <f>1/E28-1</f>
        <v>0</v>
      </c>
      <c r="P28" s="3">
        <f>1/F28-1</f>
        <v>0.111111111111111</v>
      </c>
      <c r="Q28" s="3">
        <f>1/G28-1</f>
        <v>0.25</v>
      </c>
      <c r="R28" s="3">
        <f>1/H28-1</f>
        <v>0.428571428571429</v>
      </c>
      <c r="S28" s="3">
        <f>1/I28-1</f>
        <v>0.818181818181818</v>
      </c>
    </row>
    <row r="29" spans="1:20">
      <c r="A29" t="s">
        <v>60</v>
      </c>
      <c r="B29">
        <v>0</v>
      </c>
      <c r="C29">
        <v>0</v>
      </c>
      <c r="D29">
        <v>0</v>
      </c>
      <c r="E29">
        <v>0</v>
      </c>
      <c r="F29">
        <v>1</v>
      </c>
      <c r="G29">
        <v>3</v>
      </c>
      <c r="H29">
        <v>4</v>
      </c>
      <c r="I29">
        <v>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</row>
    <row r="30" spans="1:20">
      <c r="A30" t="s">
        <v>37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2</v>
      </c>
      <c r="I30">
        <v>2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</row>
    <row r="31" spans="1:20">
      <c r="A31" t="s">
        <v>55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</row>
    <row r="32" spans="1:20">
      <c r="A32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</row>
    <row r="33" spans="1:19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2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</row>
    <row r="34" spans="1:19">
      <c r="A34" t="s">
        <v>56</v>
      </c>
      <c r="B34">
        <v>0</v>
      </c>
      <c r="C34">
        <v>0</v>
      </c>
      <c r="D34">
        <v>0</v>
      </c>
      <c r="E34">
        <v>0</v>
      </c>
      <c r="F34">
        <v>20</v>
      </c>
      <c r="G34">
        <v>50</v>
      </c>
      <c r="H34">
        <v>75</v>
      </c>
      <c r="I34">
        <v>100</v>
      </c>
      <c r="L34">
        <v>0</v>
      </c>
      <c r="M34">
        <v>0</v>
      </c>
      <c r="N34">
        <v>0</v>
      </c>
      <c r="O34">
        <v>0</v>
      </c>
      <c r="P34">
        <f t="shared" ref="P34:S34" si="0">F34/33.3333333333333</f>
        <v>0.600000000000001</v>
      </c>
      <c r="Q34">
        <f t="shared" si="0"/>
        <v>1.5</v>
      </c>
      <c r="R34">
        <f t="shared" si="0"/>
        <v>2.25</v>
      </c>
      <c r="S34">
        <f t="shared" si="0"/>
        <v>3</v>
      </c>
    </row>
    <row r="35" spans="1:19">
      <c r="A35" t="s">
        <v>61</v>
      </c>
      <c r="B35">
        <v>1</v>
      </c>
      <c r="C35">
        <v>1</v>
      </c>
      <c r="D35">
        <v>1</v>
      </c>
      <c r="E35">
        <v>1</v>
      </c>
      <c r="F35">
        <v>1</v>
      </c>
      <c r="G35">
        <v>0.9</v>
      </c>
      <c r="H35">
        <v>0.85</v>
      </c>
      <c r="I35">
        <v>0.75</v>
      </c>
      <c r="L35" s="3">
        <f>1/B35-1</f>
        <v>0</v>
      </c>
      <c r="M35" s="3">
        <f t="shared" ref="M35:S35" si="1">1/C35-1</f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0.111111111111111</v>
      </c>
      <c r="R35" s="3">
        <f t="shared" si="1"/>
        <v>0.176470588235294</v>
      </c>
      <c r="S35" s="3">
        <f t="shared" si="1"/>
        <v>0.333333333333333</v>
      </c>
    </row>
    <row r="36" spans="1:19">
      <c r="A36" t="s">
        <v>62</v>
      </c>
      <c r="B36">
        <v>1</v>
      </c>
      <c r="C36">
        <v>1</v>
      </c>
      <c r="D36">
        <v>1</v>
      </c>
      <c r="E36">
        <v>1</v>
      </c>
      <c r="F36">
        <v>0.85</v>
      </c>
      <c r="G36">
        <v>0.8</v>
      </c>
      <c r="H36">
        <v>0.65</v>
      </c>
      <c r="I36">
        <v>0.5</v>
      </c>
      <c r="L36" s="3">
        <f>1/B36-1</f>
        <v>0</v>
      </c>
      <c r="M36" s="3">
        <f>1/C36-1</f>
        <v>0</v>
      </c>
      <c r="N36" s="3">
        <f>1/D36-1</f>
        <v>0</v>
      </c>
      <c r="O36" s="3">
        <f>1/E36-1</f>
        <v>0</v>
      </c>
      <c r="P36" s="3">
        <f>1/F36-1</f>
        <v>0.176470588235294</v>
      </c>
      <c r="Q36" s="3">
        <f>1/G36-1</f>
        <v>0.25</v>
      </c>
      <c r="R36" s="3">
        <f>1/H36-1</f>
        <v>0.538461538461538</v>
      </c>
      <c r="S36" s="3">
        <f>1/I36-1</f>
        <v>1</v>
      </c>
    </row>
    <row r="37" spans="1:19">
      <c r="A37" t="s">
        <v>63</v>
      </c>
      <c r="B37">
        <v>0</v>
      </c>
      <c r="C37">
        <v>0</v>
      </c>
      <c r="D37">
        <v>0</v>
      </c>
      <c r="E37">
        <v>0</v>
      </c>
      <c r="F37" t="s">
        <v>64</v>
      </c>
      <c r="G37" t="s">
        <v>65</v>
      </c>
      <c r="H37" t="s">
        <v>66</v>
      </c>
      <c r="I37" t="s">
        <v>67</v>
      </c>
    </row>
    <row r="39" spans="1:19">
      <c r="A39" t="s">
        <v>68</v>
      </c>
      <c r="B39" t="s">
        <v>47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49</v>
      </c>
      <c r="I39" t="s">
        <v>23</v>
      </c>
      <c r="L39" t="s">
        <v>47</v>
      </c>
      <c r="M39" t="s">
        <v>4</v>
      </c>
      <c r="N39" t="s">
        <v>5</v>
      </c>
      <c r="O39" t="s">
        <v>6</v>
      </c>
      <c r="P39" t="s">
        <v>7</v>
      </c>
      <c r="Q39" t="s">
        <v>8</v>
      </c>
      <c r="R39" t="s">
        <v>49</v>
      </c>
      <c r="S39" t="s">
        <v>23</v>
      </c>
    </row>
    <row r="40" spans="1:19">
      <c r="A40" t="s">
        <v>69</v>
      </c>
      <c r="B40">
        <v>1</v>
      </c>
      <c r="C40">
        <v>1</v>
      </c>
      <c r="D40">
        <v>1</v>
      </c>
      <c r="E40">
        <v>1.2</v>
      </c>
      <c r="F40">
        <v>1.4</v>
      </c>
      <c r="G40">
        <v>1.6</v>
      </c>
      <c r="H40">
        <v>1.8</v>
      </c>
      <c r="I40">
        <v>2</v>
      </c>
      <c r="L40" s="3">
        <f>B40-1</f>
        <v>0</v>
      </c>
      <c r="M40" s="3">
        <f>C40-1</f>
        <v>0</v>
      </c>
      <c r="N40" s="3">
        <f>D40-1</f>
        <v>0</v>
      </c>
      <c r="O40" s="3">
        <f>E40-1</f>
        <v>0.2</v>
      </c>
      <c r="P40" s="3">
        <f>F40-1</f>
        <v>0.4</v>
      </c>
      <c r="Q40" s="3">
        <f>G40-1</f>
        <v>0.6</v>
      </c>
      <c r="R40" s="3">
        <f>H40-1</f>
        <v>0.8</v>
      </c>
      <c r="S40" s="3">
        <f>I40-1</f>
        <v>1</v>
      </c>
    </row>
    <row r="41" spans="1:19">
      <c r="A41" t="s">
        <v>70</v>
      </c>
      <c r="B41">
        <v>1</v>
      </c>
      <c r="C41">
        <v>1</v>
      </c>
      <c r="D41">
        <v>1</v>
      </c>
      <c r="E41">
        <v>1.08</v>
      </c>
      <c r="F41">
        <v>1.16</v>
      </c>
      <c r="G41">
        <v>1.24</v>
      </c>
      <c r="H41">
        <v>1.32</v>
      </c>
      <c r="I41">
        <v>1.4</v>
      </c>
      <c r="L41" s="3">
        <f>B41-1</f>
        <v>0</v>
      </c>
      <c r="M41" s="3">
        <f t="shared" ref="M41:S41" si="2">C41-1</f>
        <v>0</v>
      </c>
      <c r="N41" s="3">
        <f t="shared" si="2"/>
        <v>0</v>
      </c>
      <c r="O41" s="3">
        <f t="shared" si="2"/>
        <v>0.0800000000000001</v>
      </c>
      <c r="P41" s="3">
        <f t="shared" si="2"/>
        <v>0.16</v>
      </c>
      <c r="Q41" s="3">
        <f t="shared" si="2"/>
        <v>0.24</v>
      </c>
      <c r="R41" s="3">
        <f t="shared" si="2"/>
        <v>0.32</v>
      </c>
      <c r="S41" s="3">
        <f t="shared" si="2"/>
        <v>0.4</v>
      </c>
    </row>
    <row r="42" spans="1:19">
      <c r="A42" t="s">
        <v>37</v>
      </c>
      <c r="B42">
        <v>0</v>
      </c>
      <c r="C42">
        <v>0</v>
      </c>
      <c r="D42">
        <v>0</v>
      </c>
      <c r="E42">
        <v>0</v>
      </c>
      <c r="F42">
        <v>1</v>
      </c>
      <c r="G42">
        <v>2</v>
      </c>
      <c r="H42">
        <v>3</v>
      </c>
      <c r="I42">
        <v>4</v>
      </c>
      <c r="L42" s="3" t="s">
        <v>36</v>
      </c>
      <c r="M42" s="3" t="s">
        <v>36</v>
      </c>
      <c r="N42" s="3" t="s">
        <v>36</v>
      </c>
      <c r="O42" s="3" t="s">
        <v>36</v>
      </c>
      <c r="P42" s="3" t="s">
        <v>36</v>
      </c>
      <c r="Q42" s="3" t="s">
        <v>36</v>
      </c>
      <c r="R42" s="3" t="s">
        <v>36</v>
      </c>
      <c r="S42" s="3" t="s">
        <v>36</v>
      </c>
    </row>
    <row r="43" spans="1:19">
      <c r="A43" t="s">
        <v>38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2</v>
      </c>
      <c r="L43" s="3" t="s">
        <v>36</v>
      </c>
      <c r="M43" s="3" t="s">
        <v>36</v>
      </c>
      <c r="N43" s="3" t="s">
        <v>36</v>
      </c>
      <c r="O43" s="3" t="s">
        <v>36</v>
      </c>
      <c r="P43" s="3" t="s">
        <v>36</v>
      </c>
      <c r="Q43" s="3" t="s">
        <v>36</v>
      </c>
      <c r="R43" s="3" t="s">
        <v>36</v>
      </c>
      <c r="S43" s="3" t="s">
        <v>36</v>
      </c>
    </row>
    <row r="44" spans="1:19">
      <c r="A44" t="s">
        <v>39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2</v>
      </c>
      <c r="I44">
        <v>2</v>
      </c>
      <c r="L44" s="3" t="s">
        <v>36</v>
      </c>
      <c r="M44" s="3" t="s">
        <v>36</v>
      </c>
      <c r="N44" s="3" t="s">
        <v>36</v>
      </c>
      <c r="O44" s="3" t="s">
        <v>36</v>
      </c>
      <c r="P44" s="3" t="s">
        <v>36</v>
      </c>
      <c r="Q44" s="3" t="s">
        <v>36</v>
      </c>
      <c r="R44" s="3" t="s">
        <v>36</v>
      </c>
      <c r="S44" s="3" t="s">
        <v>36</v>
      </c>
    </row>
    <row r="45" spans="1:19">
      <c r="A45" t="s">
        <v>63</v>
      </c>
      <c r="B45" t="s">
        <v>71</v>
      </c>
      <c r="C45" t="s">
        <v>50</v>
      </c>
      <c r="D45" t="s">
        <v>72</v>
      </c>
      <c r="E45">
        <v>1.1</v>
      </c>
      <c r="F45">
        <v>1.2</v>
      </c>
      <c r="G45">
        <v>1.3</v>
      </c>
      <c r="H45">
        <v>1.4</v>
      </c>
      <c r="I45">
        <v>1.5</v>
      </c>
      <c r="L45" s="3">
        <f>1/1.45-1</f>
        <v>-0.310344827586207</v>
      </c>
      <c r="M45" s="3">
        <f>1/1.3-1</f>
        <v>-0.230769230769231</v>
      </c>
      <c r="N45" s="3">
        <f>1/1.15-1</f>
        <v>-0.130434782608696</v>
      </c>
      <c r="O45" s="3">
        <f t="shared" ref="O45:S45" si="3">E45-1</f>
        <v>0.1</v>
      </c>
      <c r="P45" s="3">
        <f t="shared" si="3"/>
        <v>0.2</v>
      </c>
      <c r="Q45" s="3">
        <f t="shared" si="3"/>
        <v>0.3</v>
      </c>
      <c r="R45" s="3">
        <f t="shared" si="3"/>
        <v>0.4</v>
      </c>
      <c r="S45" s="3">
        <f t="shared" si="3"/>
        <v>0.5</v>
      </c>
    </row>
    <row r="46" spans="1:19">
      <c r="A46" t="s">
        <v>73</v>
      </c>
      <c r="B46">
        <v>-4</v>
      </c>
      <c r="C46">
        <v>-3</v>
      </c>
      <c r="D46">
        <v>-2</v>
      </c>
      <c r="E46">
        <v>0</v>
      </c>
      <c r="F46">
        <v>1</v>
      </c>
      <c r="G46">
        <v>2</v>
      </c>
      <c r="H46">
        <v>3</v>
      </c>
      <c r="I46">
        <v>4</v>
      </c>
      <c r="L46" s="3" t="s">
        <v>36</v>
      </c>
      <c r="M46" s="3" t="s">
        <v>36</v>
      </c>
      <c r="N46" s="3" t="s">
        <v>36</v>
      </c>
      <c r="O46" s="3" t="s">
        <v>36</v>
      </c>
      <c r="P46" s="3" t="s">
        <v>36</v>
      </c>
      <c r="Q46" s="3" t="s">
        <v>36</v>
      </c>
      <c r="R46" s="3" t="s">
        <v>36</v>
      </c>
      <c r="S46" s="3" t="s">
        <v>36</v>
      </c>
    </row>
    <row r="48" spans="1:19">
      <c r="A48" t="s">
        <v>74</v>
      </c>
      <c r="B48" t="s">
        <v>75</v>
      </c>
      <c r="C48" t="s">
        <v>76</v>
      </c>
      <c r="D48" t="s">
        <v>77</v>
      </c>
      <c r="E48" t="s">
        <v>78</v>
      </c>
      <c r="F48" t="s">
        <v>49</v>
      </c>
      <c r="G48" t="s">
        <v>23</v>
      </c>
      <c r="L48" t="s">
        <v>75</v>
      </c>
      <c r="M48" t="s">
        <v>76</v>
      </c>
      <c r="N48" t="s">
        <v>77</v>
      </c>
      <c r="O48" t="s">
        <v>78</v>
      </c>
      <c r="P48" t="s">
        <v>49</v>
      </c>
      <c r="Q48" t="s">
        <v>23</v>
      </c>
    </row>
    <row r="49" spans="1:19">
      <c r="A49" t="s">
        <v>10</v>
      </c>
      <c r="B49">
        <v>0.8</v>
      </c>
      <c r="C49">
        <v>1</v>
      </c>
      <c r="D49">
        <v>1.2</v>
      </c>
      <c r="E49">
        <v>1.4</v>
      </c>
      <c r="F49">
        <v>1.6</v>
      </c>
      <c r="G49">
        <v>1.8</v>
      </c>
      <c r="L49" s="3">
        <f>B49-1</f>
        <v>-0.2</v>
      </c>
      <c r="M49" s="3">
        <f t="shared" ref="M49:S49" si="4">C49-1</f>
        <v>0</v>
      </c>
      <c r="N49" s="3">
        <f t="shared" si="4"/>
        <v>0.2</v>
      </c>
      <c r="O49" s="3">
        <f t="shared" si="4"/>
        <v>0.4</v>
      </c>
      <c r="P49" s="3">
        <f t="shared" si="4"/>
        <v>0.6</v>
      </c>
      <c r="Q49" s="3">
        <f t="shared" si="4"/>
        <v>0.8</v>
      </c>
      <c r="R49" s="3"/>
      <c r="S49" s="3"/>
    </row>
    <row r="50" spans="1:19">
      <c r="A50" t="s">
        <v>79</v>
      </c>
      <c r="B50">
        <v>0.8</v>
      </c>
      <c r="C50">
        <v>1</v>
      </c>
      <c r="D50">
        <v>1.2</v>
      </c>
      <c r="E50">
        <v>1.4</v>
      </c>
      <c r="F50">
        <v>1.6</v>
      </c>
      <c r="G50">
        <v>1.8</v>
      </c>
      <c r="L50" s="3">
        <f>B50-1</f>
        <v>-0.2</v>
      </c>
      <c r="M50" s="3">
        <f>C50-1</f>
        <v>0</v>
      </c>
      <c r="N50" s="3">
        <f>D50-1</f>
        <v>0.2</v>
      </c>
      <c r="O50" s="3">
        <f>E50-1</f>
        <v>0.4</v>
      </c>
      <c r="P50" s="3">
        <f>F50-1</f>
        <v>0.6</v>
      </c>
      <c r="Q50" s="3">
        <f>G50-1</f>
        <v>0.8</v>
      </c>
    </row>
    <row r="51" spans="1:19">
      <c r="A51" t="s">
        <v>63</v>
      </c>
      <c r="B51">
        <v>0.8</v>
      </c>
      <c r="C51">
        <v>1</v>
      </c>
      <c r="D51">
        <v>1.4</v>
      </c>
      <c r="E51">
        <v>1.6</v>
      </c>
      <c r="F51">
        <v>1.8</v>
      </c>
      <c r="G51">
        <v>2</v>
      </c>
      <c r="L51" s="3">
        <f>B51-1</f>
        <v>-0.2</v>
      </c>
      <c r="M51" s="3">
        <f>C51-1</f>
        <v>0</v>
      </c>
      <c r="N51" s="3">
        <f>D51-1</f>
        <v>0.4</v>
      </c>
      <c r="O51" s="3">
        <f>E51-1</f>
        <v>0.6</v>
      </c>
      <c r="P51" s="3">
        <f>F51-1</f>
        <v>0.8</v>
      </c>
      <c r="Q51" s="3">
        <f>G51-1</f>
        <v>1</v>
      </c>
    </row>
    <row r="52" spans="1:19">
      <c r="A52" t="s">
        <v>73</v>
      </c>
      <c r="B52">
        <v>-4</v>
      </c>
      <c r="C52">
        <v>0</v>
      </c>
      <c r="D52">
        <v>1</v>
      </c>
      <c r="E52">
        <v>3</v>
      </c>
      <c r="F52">
        <v>5</v>
      </c>
      <c r="G52">
        <v>8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</row>
  </sheetData>
  <mergeCells count="3">
    <mergeCell ref="B1:K1"/>
    <mergeCell ref="L1:U1"/>
    <mergeCell ref="A24:J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2026-09-05T14:01:07Z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A34E86564162466DBC476D13D0F4ED8A_12</vt:lpwstr>
  </property>
  <property fmtid="{D5CDD505-2E9C-101B-9397-08002B2CF9AE}" pid="4" name="CalculationRule">
    <vt:i4>0</vt:i4>
  </property>
</Properties>
</file>